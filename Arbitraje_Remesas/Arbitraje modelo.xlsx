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honn\OneDrive\Escritorio\"/>
    </mc:Choice>
  </mc:AlternateContent>
  <bookViews>
    <workbookView xWindow="0" yWindow="0" windowWidth="27374" windowHeight="11263"/>
  </bookViews>
  <sheets>
    <sheet name="Compra #1 01-07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9" i="1" l="1"/>
  <c r="C53" i="1" s="1"/>
  <c r="C48" i="1"/>
  <c r="C46" i="1"/>
  <c r="C44" i="1"/>
  <c r="B40" i="1"/>
  <c r="B42" i="1" s="1"/>
  <c r="B15" i="1"/>
  <c r="C19" i="1" s="1"/>
  <c r="C14" i="1"/>
  <c r="C12" i="1"/>
  <c r="C10" i="1"/>
  <c r="C17" i="1" s="1"/>
  <c r="B6" i="1"/>
  <c r="B8" i="1" s="1"/>
  <c r="C22" i="1" s="1"/>
  <c r="C18" i="1" l="1"/>
  <c r="C21" i="1" s="1"/>
  <c r="D27" i="1"/>
  <c r="D28" i="1" s="1"/>
  <c r="C45" i="1"/>
  <c r="C51" i="1" s="1"/>
  <c r="D61" i="1" l="1"/>
  <c r="D62" i="1" s="1"/>
  <c r="C52" i="1"/>
  <c r="C56" i="1"/>
  <c r="C20" i="1"/>
  <c r="C54" i="1" l="1"/>
  <c r="D63" i="1" s="1"/>
  <c r="C55" i="1"/>
  <c r="D29" i="1"/>
  <c r="B67" i="1" l="1"/>
  <c r="D64" i="1"/>
  <c r="D30" i="1"/>
  <c r="B33" i="1"/>
  <c r="B72" i="1"/>
</calcChain>
</file>

<file path=xl/sharedStrings.xml><?xml version="1.0" encoding="utf-8"?>
<sst xmlns="http://schemas.openxmlformats.org/spreadsheetml/2006/main" count="63" uniqueCount="34">
  <si>
    <t>CICLO # 1 01/07/2026</t>
  </si>
  <si>
    <t>USDT Vendidos</t>
  </si>
  <si>
    <t>Mercantil</t>
  </si>
  <si>
    <t>% Binance</t>
  </si>
  <si>
    <t>Usdt Recibidos</t>
  </si>
  <si>
    <t>Tasa de Venta</t>
  </si>
  <si>
    <t>Bolivares Recibidos</t>
  </si>
  <si>
    <t xml:space="preserve">Tasa de Compra Divisa $ Bdv </t>
  </si>
  <si>
    <t xml:space="preserve">Divisas Compradas $ </t>
  </si>
  <si>
    <t>Porcentaje de Compra  en BS BDV</t>
  </si>
  <si>
    <t>Porcentaje de Compra $ BDV</t>
  </si>
  <si>
    <t xml:space="preserve">Divisas Procesadas en Binanace </t>
  </si>
  <si>
    <t xml:space="preserve">USD Recibidos en Binance </t>
  </si>
  <si>
    <t>Resumen del Ciclo</t>
  </si>
  <si>
    <t>Bs Total Gastados</t>
  </si>
  <si>
    <t>USDT Total Gastados del Ciclo</t>
  </si>
  <si>
    <t>Ganancia en USD = USDT</t>
  </si>
  <si>
    <t xml:space="preserve">Porcentaje de Ganancia </t>
  </si>
  <si>
    <t xml:space="preserve">Bolivares Restantes </t>
  </si>
  <si>
    <t>Cuenta Rhonny Procesada MT</t>
  </si>
  <si>
    <t>Cuenta Solanda Procesada DINERO EN PAUSA</t>
  </si>
  <si>
    <t>Cuenta AristidesProcesada</t>
  </si>
  <si>
    <t xml:space="preserve">RESUMEN FINAL </t>
  </si>
  <si>
    <t>Total Bs Gastados</t>
  </si>
  <si>
    <t>Total Usdt Gastados</t>
  </si>
  <si>
    <t>Totla USDT Ganados</t>
  </si>
  <si>
    <t>Porcentaje de Ganancia</t>
  </si>
  <si>
    <t xml:space="preserve">TOTAL GANADO </t>
  </si>
  <si>
    <t xml:space="preserve">Nota </t>
  </si>
  <si>
    <t>CICLO # 1.1 01/07/2026</t>
  </si>
  <si>
    <t xml:space="preserve">Provincial </t>
  </si>
  <si>
    <t>Cuenta Rhonny Procesada</t>
  </si>
  <si>
    <t>Cuenta Solanda Procesada</t>
  </si>
  <si>
    <t>TOTAL DE LOS CICLOS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</si>
</sst>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0" fillId="4" borderId="4" xfId="0" applyFill="1" applyBorder="1"/>
    <xf numFmtId="0" fontId="2" fillId="5" borderId="0" xfId="0" applyFont="1" applyFill="1"/>
    <xf numFmtId="0" fontId="0" fillId="2" borderId="5" xfId="0" applyFill="1" applyBorder="1"/>
    <xf numFmtId="10" fontId="0" fillId="2" borderId="0" xfId="0" applyNumberFormat="1" applyFill="1" applyBorder="1"/>
    <xf numFmtId="0" fontId="0" fillId="4" borderId="6" xfId="0" applyFill="1" applyBorder="1"/>
    <xf numFmtId="0" fontId="0" fillId="2" borderId="0" xfId="0" applyFill="1" applyBorder="1"/>
    <xf numFmtId="0" fontId="0" fillId="3" borderId="5" xfId="0" applyFill="1" applyBorder="1"/>
    <xf numFmtId="0" fontId="0" fillId="3" borderId="7" xfId="0" applyFill="1" applyBorder="1"/>
    <xf numFmtId="1" fontId="0" fillId="4" borderId="6" xfId="0" applyNumberFormat="1" applyFill="1" applyBorder="1"/>
    <xf numFmtId="0" fontId="0" fillId="3" borderId="0" xfId="0" applyFill="1" applyBorder="1"/>
    <xf numFmtId="2" fontId="0" fillId="4" borderId="6" xfId="0" applyNumberFormat="1" applyFill="1" applyBorder="1"/>
    <xf numFmtId="0" fontId="0" fillId="2" borderId="0" xfId="0" applyFill="1" applyAlignment="1">
      <alignment horizontal="left"/>
    </xf>
    <xf numFmtId="0" fontId="0" fillId="6" borderId="5" xfId="0" applyFill="1" applyBorder="1"/>
    <xf numFmtId="0" fontId="0" fillId="6" borderId="0" xfId="0" applyFill="1" applyBorder="1"/>
    <xf numFmtId="10" fontId="0" fillId="4" borderId="6" xfId="0" applyNumberFormat="1" applyFill="1" applyBorder="1"/>
    <xf numFmtId="0" fontId="1" fillId="7" borderId="5" xfId="0" applyFont="1" applyFill="1" applyBorder="1" applyAlignment="1">
      <alignment horizontal="left"/>
    </xf>
    <xf numFmtId="0" fontId="0" fillId="7" borderId="0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1" fillId="4" borderId="6" xfId="0" applyFont="1" applyFill="1" applyBorder="1"/>
    <xf numFmtId="0" fontId="0" fillId="8" borderId="8" xfId="0" applyFill="1" applyBorder="1"/>
    <xf numFmtId="0" fontId="0" fillId="8" borderId="9" xfId="0" applyFill="1" applyBorder="1"/>
    <xf numFmtId="2" fontId="4" fillId="8" borderId="10" xfId="0" applyNumberFormat="1" applyFont="1" applyFill="1" applyBorder="1" applyAlignment="1">
      <alignment horizontal="center"/>
    </xf>
    <xf numFmtId="0" fontId="0" fillId="9" borderId="11" xfId="0" applyFill="1" applyBorder="1"/>
    <xf numFmtId="0" fontId="0" fillId="9" borderId="1" xfId="0" applyFill="1" applyBorder="1"/>
    <xf numFmtId="2" fontId="5" fillId="9" borderId="12" xfId="0" applyNumberFormat="1" applyFont="1" applyFill="1" applyBorder="1" applyAlignment="1">
      <alignment horizontal="center"/>
    </xf>
    <xf numFmtId="2" fontId="0" fillId="2" borderId="0" xfId="0" applyNumberFormat="1" applyFill="1"/>
    <xf numFmtId="0" fontId="1" fillId="6" borderId="0" xfId="0" applyFont="1" applyFill="1" applyAlignment="1">
      <alignment horizontal="center"/>
    </xf>
    <xf numFmtId="0" fontId="0" fillId="10" borderId="0" xfId="0" applyFill="1" applyAlignment="1">
      <alignment horizontal="left"/>
    </xf>
    <xf numFmtId="2" fontId="0" fillId="10" borderId="0" xfId="0" applyNumberFormat="1" applyFill="1" applyAlignment="1">
      <alignment horizontal="center"/>
    </xf>
    <xf numFmtId="0" fontId="0" fillId="11" borderId="0" xfId="0" applyFill="1" applyAlignment="1">
      <alignment horizontal="left"/>
    </xf>
    <xf numFmtId="164" fontId="0" fillId="11" borderId="0" xfId="0" applyNumberFormat="1" applyFill="1" applyAlignment="1">
      <alignment horizontal="center"/>
    </xf>
    <xf numFmtId="0" fontId="0" fillId="10" borderId="13" xfId="0" applyFill="1" applyBorder="1" applyAlignment="1">
      <alignment horizontal="left"/>
    </xf>
    <xf numFmtId="0" fontId="0" fillId="10" borderId="9" xfId="0" applyFill="1" applyBorder="1" applyAlignment="1">
      <alignment horizontal="left"/>
    </xf>
    <xf numFmtId="2" fontId="4" fillId="6" borderId="7" xfId="0" applyNumberFormat="1" applyFont="1" applyFill="1" applyBorder="1" applyAlignment="1">
      <alignment horizontal="center"/>
    </xf>
    <xf numFmtId="0" fontId="0" fillId="11" borderId="14" xfId="0" applyFill="1" applyBorder="1" applyAlignment="1">
      <alignment horizontal="left"/>
    </xf>
    <xf numFmtId="0" fontId="0" fillId="11" borderId="15" xfId="0" applyFill="1" applyBorder="1" applyAlignment="1">
      <alignment horizontal="left"/>
    </xf>
    <xf numFmtId="2" fontId="4" fillId="11" borderId="16" xfId="0" applyNumberFormat="1" applyFont="1" applyFill="1" applyBorder="1" applyAlignment="1">
      <alignment horizontal="center"/>
    </xf>
    <xf numFmtId="0" fontId="0" fillId="11" borderId="0" xfId="0" applyFill="1"/>
    <xf numFmtId="2" fontId="0" fillId="11" borderId="0" xfId="0" applyNumberFormat="1" applyFill="1"/>
    <xf numFmtId="0" fontId="0" fillId="7" borderId="0" xfId="0" applyFill="1"/>
    <xf numFmtId="2" fontId="5" fillId="11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AK96"/>
  <sheetViews>
    <sheetView tabSelected="1" zoomScaleNormal="100" workbookViewId="0">
      <selection activeCell="D68" sqref="D68"/>
    </sheetView>
  </sheetViews>
  <sheetFormatPr baseColWidth="10" defaultColWidth="9.140625" defaultRowHeight="14.3" x14ac:dyDescent="0.25"/>
  <cols>
    <col min="1" max="1" width="30.85546875" bestFit="1" customWidth="1"/>
    <col min="2" max="2" width="9.42578125" bestFit="1" customWidth="1"/>
    <col min="3" max="3" width="12.85546875" bestFit="1" customWidth="1"/>
    <col min="4" max="4" width="19.140625" bestFit="1" customWidth="1"/>
    <col min="5" max="5" width="16.42578125" bestFit="1" customWidth="1"/>
    <col min="6" max="6" width="12.140625" bestFit="1" customWidth="1"/>
  </cols>
  <sheetData>
    <row r="1" spans="1:3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20.7" x14ac:dyDescent="0.35">
      <c r="A3" s="2" t="s">
        <v>0</v>
      </c>
      <c r="B3" s="2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25">
      <c r="A4" s="3" t="s">
        <v>1</v>
      </c>
      <c r="B4" s="4">
        <v>900</v>
      </c>
      <c r="C4" s="5"/>
      <c r="D4" s="6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A5" s="7" t="s">
        <v>3</v>
      </c>
      <c r="B5" s="8">
        <v>2.5000000000000001E-3</v>
      </c>
      <c r="C5" s="9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ht="15" thickBot="1" x14ac:dyDescent="0.3">
      <c r="A6" s="7" t="s">
        <v>4</v>
      </c>
      <c r="B6" s="10">
        <f>((B4-(B4*B5)))</f>
        <v>897.75</v>
      </c>
      <c r="C6" s="9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15" thickBot="1" x14ac:dyDescent="0.3">
      <c r="A7" s="11" t="s">
        <v>5</v>
      </c>
      <c r="B7" s="12">
        <v>751.9</v>
      </c>
      <c r="C7" s="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5">
      <c r="A8" s="7" t="s">
        <v>6</v>
      </c>
      <c r="B8" s="10">
        <f>B6*B7</f>
        <v>675018.22499999998</v>
      </c>
      <c r="C8" s="1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5">
      <c r="A9" s="11" t="s">
        <v>7</v>
      </c>
      <c r="B9" s="14">
        <v>633.36</v>
      </c>
      <c r="C9" s="9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5">
      <c r="A10" s="11" t="s">
        <v>8</v>
      </c>
      <c r="B10" s="14">
        <v>1000</v>
      </c>
      <c r="C10" s="15">
        <f>B10*B9</f>
        <v>633360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5">
      <c r="A11" s="7" t="s">
        <v>9</v>
      </c>
      <c r="B11" s="8">
        <v>0</v>
      </c>
      <c r="C11" s="9">
        <v>1553.82</v>
      </c>
      <c r="D11" s="16"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25">
      <c r="A12" s="7" t="s">
        <v>10</v>
      </c>
      <c r="B12" s="8">
        <v>0</v>
      </c>
      <c r="C12" s="9">
        <f>B10*B12</f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25">
      <c r="A13" s="17" t="s">
        <v>11</v>
      </c>
      <c r="B13" s="18">
        <v>1000</v>
      </c>
      <c r="C13" s="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A14" s="7" t="s">
        <v>10</v>
      </c>
      <c r="B14" s="8">
        <v>4.1000000000000002E-2</v>
      </c>
      <c r="C14" s="9">
        <f>B13*B14</f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5">
      <c r="A15" s="7" t="s">
        <v>12</v>
      </c>
      <c r="B15" s="10">
        <f>((B13-(B14*B13)))</f>
        <v>959</v>
      </c>
      <c r="C15" s="1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5">
      <c r="A16" s="20" t="s">
        <v>13</v>
      </c>
      <c r="B16" s="21"/>
      <c r="C16" s="2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 s="7" t="s">
        <v>14</v>
      </c>
      <c r="B17" s="10"/>
      <c r="C17" s="13">
        <f>C10+C11+D11</f>
        <v>634913.81999999995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 s="7" t="s">
        <v>15</v>
      </c>
      <c r="B18" s="10"/>
      <c r="C18" s="15">
        <f>C17/B7</f>
        <v>844.41258146030054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ht="15" thickBot="1" x14ac:dyDescent="0.3">
      <c r="A19" s="7" t="s">
        <v>12</v>
      </c>
      <c r="B19" s="10"/>
      <c r="C19" s="23">
        <f>B15</f>
        <v>959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ht="16.399999999999999" x14ac:dyDescent="0.3">
      <c r="A20" s="24" t="s">
        <v>16</v>
      </c>
      <c r="B20" s="25"/>
      <c r="C20" s="26">
        <f>C19-C18</f>
        <v>114.58741853969946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ht="18.55" x14ac:dyDescent="0.3">
      <c r="A21" s="27" t="s">
        <v>17</v>
      </c>
      <c r="B21" s="28"/>
      <c r="C21" s="29">
        <f>((C19/C18)-1)*100</f>
        <v>13.570074754397377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5">
      <c r="A22" s="1" t="s">
        <v>18</v>
      </c>
      <c r="B22" s="1"/>
      <c r="C22" s="30">
        <f>B8-C17</f>
        <v>40104.405000000028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5">
      <c r="A23" s="1" t="s">
        <v>19</v>
      </c>
      <c r="B23" s="1">
        <v>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5">
      <c r="A24" s="1" t="s">
        <v>20</v>
      </c>
      <c r="B24" s="1">
        <v>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5">
      <c r="A25" s="1" t="s">
        <v>21</v>
      </c>
      <c r="B25" s="1">
        <v>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5">
      <c r="A26" s="31" t="s">
        <v>22</v>
      </c>
      <c r="B26" s="31"/>
      <c r="C26" s="31"/>
      <c r="D26" s="3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A27" s="32" t="s">
        <v>23</v>
      </c>
      <c r="B27" s="32"/>
      <c r="C27" s="32"/>
      <c r="D27" s="33">
        <f>C17</f>
        <v>634913.81999999995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ht="15" thickBot="1" x14ac:dyDescent="0.3">
      <c r="A28" s="34" t="s">
        <v>24</v>
      </c>
      <c r="B28" s="34"/>
      <c r="C28" s="34"/>
      <c r="D28" s="35">
        <f>D27/B7</f>
        <v>844.41258146030054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ht="17.149999999999999" thickBot="1" x14ac:dyDescent="0.35">
      <c r="A29" s="36" t="s">
        <v>25</v>
      </c>
      <c r="B29" s="37"/>
      <c r="C29" s="37"/>
      <c r="D29" s="38">
        <f>C20</f>
        <v>114.58741853969946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ht="17.149999999999999" thickBot="1" x14ac:dyDescent="0.35">
      <c r="A30" s="39" t="s">
        <v>26</v>
      </c>
      <c r="B30" s="40"/>
      <c r="C30" s="40"/>
      <c r="D30" s="41">
        <f>(D29/D28)*100</f>
        <v>13.57007475439738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5">
      <c r="A32" s="16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25">
      <c r="A33" s="42" t="s">
        <v>27</v>
      </c>
      <c r="B33" s="43">
        <f>A32+D29</f>
        <v>114.58741853969946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5">
      <c r="A34" s="1" t="s">
        <v>28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20.7" x14ac:dyDescent="0.35">
      <c r="A37" s="2" t="s">
        <v>29</v>
      </c>
      <c r="B37" s="2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5">
      <c r="A38" s="3" t="s">
        <v>1</v>
      </c>
      <c r="B38" s="4">
        <v>1088.8699999999999</v>
      </c>
      <c r="C38" s="5"/>
      <c r="D38" s="6" t="s">
        <v>30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25">
      <c r="A39" s="7" t="s">
        <v>3</v>
      </c>
      <c r="B39" s="8">
        <v>2.5000000000000001E-3</v>
      </c>
      <c r="C39" s="9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5" thickBot="1" x14ac:dyDescent="0.3">
      <c r="A40" s="7" t="s">
        <v>4</v>
      </c>
      <c r="B40" s="10">
        <f>((B38-(B38*B39)))</f>
        <v>1086.1478249999998</v>
      </c>
      <c r="C40" s="9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15" thickBot="1" x14ac:dyDescent="0.3">
      <c r="A41" s="11" t="s">
        <v>5</v>
      </c>
      <c r="B41" s="12">
        <v>734.7</v>
      </c>
      <c r="C41" s="9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25">
      <c r="A42" s="7" t="s">
        <v>6</v>
      </c>
      <c r="B42" s="10">
        <f>B40*B41</f>
        <v>797992.80702749989</v>
      </c>
      <c r="C42" s="1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25">
      <c r="A43" s="11" t="s">
        <v>7</v>
      </c>
      <c r="B43" s="14">
        <v>633.36</v>
      </c>
      <c r="C43" s="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25">
      <c r="A44" s="11" t="s">
        <v>8</v>
      </c>
      <c r="B44" s="14">
        <v>1000</v>
      </c>
      <c r="C44" s="15">
        <f>B44*B43</f>
        <v>633360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25">
      <c r="A45" s="7" t="s">
        <v>9</v>
      </c>
      <c r="B45" s="8">
        <v>0</v>
      </c>
      <c r="C45" s="9">
        <f>C44*B45</f>
        <v>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25">
      <c r="A46" s="7" t="s">
        <v>10</v>
      </c>
      <c r="B46" s="8">
        <v>0</v>
      </c>
      <c r="C46" s="9">
        <f>B47*B46</f>
        <v>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25">
      <c r="A47" s="17" t="s">
        <v>11</v>
      </c>
      <c r="B47" s="18">
        <v>995</v>
      </c>
      <c r="C47" s="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25">
      <c r="A48" s="7" t="s">
        <v>10</v>
      </c>
      <c r="B48" s="8">
        <v>4.1000000000000002E-2</v>
      </c>
      <c r="C48" s="9">
        <f>B47*B48</f>
        <v>40.795000000000002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25">
      <c r="A49" s="7" t="s">
        <v>12</v>
      </c>
      <c r="B49" s="10">
        <f>((B47-(B48*B47)))</f>
        <v>954.20500000000004</v>
      </c>
      <c r="C49" s="1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x14ac:dyDescent="0.25">
      <c r="A50" s="20" t="s">
        <v>13</v>
      </c>
      <c r="B50" s="21"/>
      <c r="C50" s="2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x14ac:dyDescent="0.25">
      <c r="A51" s="7" t="s">
        <v>14</v>
      </c>
      <c r="B51" s="10"/>
      <c r="C51" s="13">
        <f>C44+C45+D45</f>
        <v>633360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x14ac:dyDescent="0.25">
      <c r="A52" s="7" t="s">
        <v>15</v>
      </c>
      <c r="B52" s="10"/>
      <c r="C52" s="15">
        <f>C51/B41</f>
        <v>862.06614944875457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15" thickBot="1" x14ac:dyDescent="0.3">
      <c r="A53" s="7" t="s">
        <v>12</v>
      </c>
      <c r="B53" s="10"/>
      <c r="C53" s="23">
        <f>B49</f>
        <v>954.20500000000004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16.399999999999999" x14ac:dyDescent="0.3">
      <c r="A54" s="24" t="s">
        <v>16</v>
      </c>
      <c r="B54" s="25"/>
      <c r="C54" s="26">
        <f>C53-C52</f>
        <v>92.138850551245469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18.55" x14ac:dyDescent="0.3">
      <c r="A55" s="27" t="s">
        <v>17</v>
      </c>
      <c r="B55" s="28"/>
      <c r="C55" s="29">
        <f>((C53/C52)-1)*100</f>
        <v>10.688141578249354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25">
      <c r="A56" s="1" t="s">
        <v>18</v>
      </c>
      <c r="B56" s="1"/>
      <c r="C56" s="30">
        <f>B42-C51</f>
        <v>164632.80702749989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25">
      <c r="A57" s="1" t="s">
        <v>31</v>
      </c>
      <c r="B57" s="1">
        <v>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25">
      <c r="A58" s="1" t="s">
        <v>32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5">
      <c r="A59" s="1" t="s">
        <v>21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5">
      <c r="A60" s="31" t="s">
        <v>22</v>
      </c>
      <c r="B60" s="31"/>
      <c r="C60" s="31"/>
      <c r="D60" s="3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5">
      <c r="A61" s="32" t="s">
        <v>23</v>
      </c>
      <c r="B61" s="32"/>
      <c r="C61" s="32"/>
      <c r="D61" s="33">
        <f>C51</f>
        <v>633360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15" thickBot="1" x14ac:dyDescent="0.3">
      <c r="A62" s="34" t="s">
        <v>24</v>
      </c>
      <c r="B62" s="34"/>
      <c r="C62" s="34"/>
      <c r="D62" s="35">
        <f>D61/B41</f>
        <v>862.06614944875457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17.149999999999999" thickBot="1" x14ac:dyDescent="0.35">
      <c r="A63" s="36" t="s">
        <v>25</v>
      </c>
      <c r="B63" s="37"/>
      <c r="C63" s="37"/>
      <c r="D63" s="38">
        <f>C54</f>
        <v>92.138850551245469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7.149999999999999" thickBot="1" x14ac:dyDescent="0.35">
      <c r="A64" s="39" t="s">
        <v>26</v>
      </c>
      <c r="B64" s="40"/>
      <c r="C64" s="40"/>
      <c r="D64" s="41">
        <f>(D63/D62)*100</f>
        <v>10.688141578249343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5">
      <c r="A66" s="16">
        <v>114.59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5">
      <c r="A67" s="42" t="s">
        <v>27</v>
      </c>
      <c r="B67" s="43">
        <f>A66+D63</f>
        <v>206.72885055124547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5">
      <c r="A68" s="1" t="s">
        <v>28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18.55" x14ac:dyDescent="0.3">
      <c r="A72" s="44" t="s">
        <v>33</v>
      </c>
      <c r="B72" s="45">
        <f>C20+D63</f>
        <v>206.72626909094492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</sheetData>
  <mergeCells count="12">
    <mergeCell ref="A37:C37"/>
    <mergeCell ref="A60:D60"/>
    <mergeCell ref="A61:C61"/>
    <mergeCell ref="A62:C62"/>
    <mergeCell ref="A63:C63"/>
    <mergeCell ref="A64:C64"/>
    <mergeCell ref="A3:C3"/>
    <mergeCell ref="A26:D26"/>
    <mergeCell ref="A27:C27"/>
    <mergeCell ref="A28:C28"/>
    <mergeCell ref="A29:C29"/>
    <mergeCell ref="A30:C30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Compra #1 01-07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rhonnyr@gmail.com</dc:creator>
  <cp:lastModifiedBy>rhonnyr@gmail.com</cp:lastModifiedBy>
  <dcterms:created xsi:type="dcterms:W3CDTF">2026-07-05T20:08:23Z</dcterms:created>
  <dcterms:modified xsi:type="dcterms:W3CDTF">2026-07-05T20:08:55Z</dcterms:modified>
</cp:coreProperties>
</file>